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5"/>
    <sheet state="visible" name="Executive Summary" sheetId="2" r:id="rId6"/>
  </sheets>
  <definedNames/>
  <calcPr/>
</workbook>
</file>

<file path=xl/sharedStrings.xml><?xml version="1.0" encoding="utf-8"?>
<sst xmlns="http://schemas.openxmlformats.org/spreadsheetml/2006/main" count="71" uniqueCount="48">
  <si>
    <t>Patient ID</t>
  </si>
  <si>
    <t>Provider</t>
  </si>
  <si>
    <t>Claim_Amount</t>
  </si>
  <si>
    <t>Diagnosis_Code</t>
  </si>
  <si>
    <t>Procedure Code</t>
  </si>
  <si>
    <t>Claim_Status</t>
  </si>
  <si>
    <t>Rejection_Reason</t>
  </si>
  <si>
    <t>P001</t>
  </si>
  <si>
    <t>Clinic A</t>
  </si>
  <si>
    <t>D01</t>
  </si>
  <si>
    <t>T100</t>
  </si>
  <si>
    <t>Approved</t>
  </si>
  <si>
    <t>P002</t>
  </si>
  <si>
    <t>Hospital B</t>
  </si>
  <si>
    <t>T200</t>
  </si>
  <si>
    <t>Rejected</t>
  </si>
  <si>
    <t>Missing Diagnosis</t>
  </si>
  <si>
    <t>P003</t>
  </si>
  <si>
    <t>Clinic B</t>
  </si>
  <si>
    <t>D03</t>
  </si>
  <si>
    <t>Duplicate Test</t>
  </si>
  <si>
    <t>P004</t>
  </si>
  <si>
    <t>Hospital C</t>
  </si>
  <si>
    <t>D02</t>
  </si>
  <si>
    <t>T300</t>
  </si>
  <si>
    <t>P005</t>
  </si>
  <si>
    <t>P006</t>
  </si>
  <si>
    <t>Hospital A</t>
  </si>
  <si>
    <t>P007</t>
  </si>
  <si>
    <t>P008</t>
  </si>
  <si>
    <t>D04</t>
  </si>
  <si>
    <t>T400</t>
  </si>
  <si>
    <t>P009</t>
  </si>
  <si>
    <t>Clinic C</t>
  </si>
  <si>
    <t>P010</t>
  </si>
  <si>
    <t>T500</t>
  </si>
  <si>
    <t>Total Claims Value</t>
  </si>
  <si>
    <t>No. of Rejection due to Missing Diagnosis</t>
  </si>
  <si>
    <t>Approved Claims Value</t>
  </si>
  <si>
    <t>No. of Rejection due to Duplicate Test</t>
  </si>
  <si>
    <t>Rejected Claims Value</t>
  </si>
  <si>
    <t>How much was lost due to Missing Diagnosis</t>
  </si>
  <si>
    <t>% of Claims Lost</t>
  </si>
  <si>
    <t>How much was lost due to Duplicate Test</t>
  </si>
  <si>
    <t>Key Findings</t>
  </si>
  <si>
    <t>Total claims value analyzed: $600,000</t>
  </si>
  <si>
    <t>Claims rejected accouned for 37.50% of total diagnosis data, indicating poor data interoperability between providers.</t>
  </si>
  <si>
    <t>An estimated $225,000 in claim value could be recovered through interopable health record.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</si>
</sst>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3" numFmtId="0" xfId="0" applyFont="1"/>
    <xf borderId="0" fillId="3" fontId="3" numFmtId="164" xfId="0" applyFill="1" applyFont="1" applyNumberFormat="1"/>
    <xf borderId="0" fillId="4" fontId="3" numFmtId="164" xfId="0" applyFill="1" applyFont="1" applyNumberFormat="1"/>
    <xf borderId="0" fillId="5" fontId="3" numFmtId="10" xfId="0" applyFill="1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16</xdr:row>
      <xdr:rowOff>180975</xdr:rowOff>
    </xdr:from>
    <xdr:ext cx="4886325" cy="2686050"/>
    <xdr:pic>
      <xdr:nvPicPr>
        <xdr:cNvPr id="78276807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952500</xdr:colOff>
      <xdr:row>16</xdr:row>
      <xdr:rowOff>180975</xdr:rowOff>
    </xdr:from>
    <xdr:ext cx="5010150" cy="3019425"/>
    <xdr:pic>
      <xdr:nvPicPr>
        <xdr:cNvPr id="159290087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1.13"/>
    <col customWidth="1" min="3" max="3" width="14.75"/>
    <col customWidth="1" min="4" max="4" width="14.25"/>
    <col customWidth="1" min="5" max="5" width="14.63"/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45000.0</v>
      </c>
      <c r="D2" s="2" t="s">
        <v>9</v>
      </c>
      <c r="E2" s="2" t="s">
        <v>10</v>
      </c>
      <c r="F2" s="2" t="s">
        <v>11</v>
      </c>
      <c r="G2" s="4"/>
    </row>
    <row r="3">
      <c r="A3" s="2" t="s">
        <v>12</v>
      </c>
      <c r="B3" s="2" t="s">
        <v>13</v>
      </c>
      <c r="C3" s="3">
        <v>70000.0</v>
      </c>
      <c r="D3" s="4"/>
      <c r="E3" s="2" t="s">
        <v>14</v>
      </c>
      <c r="F3" s="2" t="s">
        <v>15</v>
      </c>
      <c r="G3" s="2" t="s">
        <v>16</v>
      </c>
    </row>
    <row r="4">
      <c r="A4" s="2" t="s">
        <v>17</v>
      </c>
      <c r="B4" s="2" t="s">
        <v>18</v>
      </c>
      <c r="C4" s="3">
        <v>30000.0</v>
      </c>
      <c r="D4" s="2" t="s">
        <v>19</v>
      </c>
      <c r="E4" s="2" t="s">
        <v>10</v>
      </c>
      <c r="F4" s="2" t="s">
        <v>15</v>
      </c>
      <c r="G4" s="2" t="s">
        <v>20</v>
      </c>
    </row>
    <row r="5">
      <c r="A5" s="2" t="s">
        <v>21</v>
      </c>
      <c r="B5" s="2" t="s">
        <v>22</v>
      </c>
      <c r="C5" s="3">
        <v>90000.0</v>
      </c>
      <c r="D5" s="2" t="s">
        <v>23</v>
      </c>
      <c r="E5" s="2" t="s">
        <v>24</v>
      </c>
      <c r="F5" s="2" t="s">
        <v>11</v>
      </c>
      <c r="G5" s="4"/>
    </row>
    <row r="6">
      <c r="A6" s="2" t="s">
        <v>25</v>
      </c>
      <c r="B6" s="2" t="s">
        <v>18</v>
      </c>
      <c r="C6" s="3">
        <v>50000.0</v>
      </c>
      <c r="D6" s="4"/>
      <c r="E6" s="2" t="s">
        <v>14</v>
      </c>
      <c r="F6" s="2" t="s">
        <v>15</v>
      </c>
      <c r="G6" s="2" t="s">
        <v>16</v>
      </c>
    </row>
    <row r="7">
      <c r="A7" s="2" t="s">
        <v>26</v>
      </c>
      <c r="B7" s="2" t="s">
        <v>27</v>
      </c>
      <c r="C7" s="3">
        <v>60000.0</v>
      </c>
      <c r="D7" s="2" t="s">
        <v>9</v>
      </c>
      <c r="E7" s="2" t="s">
        <v>10</v>
      </c>
      <c r="F7" s="2" t="s">
        <v>11</v>
      </c>
      <c r="G7" s="4"/>
    </row>
    <row r="8">
      <c r="A8" s="2" t="s">
        <v>28</v>
      </c>
      <c r="B8" s="2" t="s">
        <v>8</v>
      </c>
      <c r="C8" s="3">
        <v>35000.0</v>
      </c>
      <c r="D8" s="2" t="s">
        <v>19</v>
      </c>
      <c r="E8" s="2" t="s">
        <v>10</v>
      </c>
      <c r="F8" s="2" t="s">
        <v>15</v>
      </c>
      <c r="G8" s="2" t="s">
        <v>20</v>
      </c>
    </row>
    <row r="9">
      <c r="A9" s="2" t="s">
        <v>29</v>
      </c>
      <c r="B9" s="2" t="s">
        <v>13</v>
      </c>
      <c r="C9" s="3">
        <v>80000.0</v>
      </c>
      <c r="D9" s="2" t="s">
        <v>30</v>
      </c>
      <c r="E9" s="2" t="s">
        <v>31</v>
      </c>
      <c r="F9" s="2" t="s">
        <v>11</v>
      </c>
      <c r="G9" s="4"/>
    </row>
    <row r="10">
      <c r="A10" s="2" t="s">
        <v>32</v>
      </c>
      <c r="B10" s="2" t="s">
        <v>33</v>
      </c>
      <c r="C10" s="3">
        <v>40000.0</v>
      </c>
      <c r="D10" s="4"/>
      <c r="E10" s="2" t="s">
        <v>24</v>
      </c>
      <c r="F10" s="2" t="s">
        <v>15</v>
      </c>
      <c r="G10" s="2" t="s">
        <v>16</v>
      </c>
    </row>
    <row r="11">
      <c r="A11" s="2" t="s">
        <v>34</v>
      </c>
      <c r="B11" s="2" t="s">
        <v>22</v>
      </c>
      <c r="C11" s="3">
        <v>100000.0</v>
      </c>
      <c r="D11" s="2" t="s">
        <v>23</v>
      </c>
      <c r="E11" s="2" t="s">
        <v>35</v>
      </c>
      <c r="F11" s="2" t="s">
        <v>11</v>
      </c>
      <c r="G11" s="4"/>
    </row>
    <row r="12">
      <c r="B12" s="5" t="s">
        <v>36</v>
      </c>
      <c r="C12" s="6">
        <f>SUM(C1:C11)</f>
        <v>600000</v>
      </c>
      <c r="G12" s="7">
        <f>countif(G2:G11, "Missing Diagnosis")</f>
        <v>3</v>
      </c>
      <c r="H12" s="5" t="s">
        <v>37</v>
      </c>
    </row>
    <row r="13">
      <c r="B13" s="5" t="s">
        <v>38</v>
      </c>
      <c r="C13" s="8">
        <f>sum(C2,C5,C7,C9,C11)</f>
        <v>375000</v>
      </c>
      <c r="G13" s="7">
        <f>countif(G3:G12, "Duplicate Test")</f>
        <v>2</v>
      </c>
      <c r="H13" s="5" t="s">
        <v>39</v>
      </c>
    </row>
    <row r="14">
      <c r="B14" s="5" t="s">
        <v>40</v>
      </c>
      <c r="C14" s="9">
        <f>sum(C3,C4,C6,C8,C10)</f>
        <v>225000</v>
      </c>
      <c r="G14" s="6">
        <f>sumifs(C2:C11,G2:G11, "Missing Diagnosis")</f>
        <v>160000</v>
      </c>
      <c r="H14" s="5" t="s">
        <v>41</v>
      </c>
    </row>
    <row r="15">
      <c r="B15" s="5" t="s">
        <v>42</v>
      </c>
      <c r="C15" s="10">
        <f>C14/C12</f>
        <v>0.375</v>
      </c>
      <c r="G15" s="6">
        <f>sumifs(C2:C11,G2:G11, "Duplicate Test")</f>
        <v>65000</v>
      </c>
      <c r="H15" s="5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</cols>
  <sheetData>
    <row r="1">
      <c r="A1" s="11" t="s">
        <v>44</v>
      </c>
    </row>
    <row r="3">
      <c r="A3" s="12" t="s">
        <v>45</v>
      </c>
    </row>
    <row r="4">
      <c r="A4" s="12" t="s">
        <v>46</v>
      </c>
    </row>
    <row r="5">
      <c r="A5" s="12" t="s">
        <v>47</v>
      </c>
    </row>
    <row r="6">
      <c r="A6" s="13"/>
    </row>
    <row r="7">
      <c r="A7" s="13"/>
    </row>
    <row r="8">
      <c r="A8" s="13"/>
    </row>
    <row r="9">
      <c r="A9" s="13"/>
    </row>
    <row r="10">
      <c r="A10" s="13"/>
    </row>
    <row r="11">
      <c r="A11" s="13"/>
    </row>
    <row r="146">
      <c r="B146" s="14" t="str">
        <f>C12</f>
        <v/>
      </c>
    </row>
  </sheetData>
  <drawing r:id="rId1"/>
</worksheet>
</file>